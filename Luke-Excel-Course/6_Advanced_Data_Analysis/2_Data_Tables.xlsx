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\Data Science Career\Data-Analyst\Luke-Excel-Course\6_Advanced_Data_Analysis\"/>
    </mc:Choice>
  </mc:AlternateContent>
  <xr:revisionPtr revIDLastSave="0" documentId="13_ncr:1_{A303DFE9-8A58-4FAB-A202-27FDC83E84CB}" xr6:coauthVersionLast="47" xr6:coauthVersionMax="47" xr10:uidLastSave="{00000000-0000-0000-0000-000000000000}"/>
  <bookViews>
    <workbookView xWindow="-120" yWindow="-120" windowWidth="29040" windowHeight="15720" xr2:uid="{6C37AC85-509F-4D10-9DB1-F70D16D6FBAB}"/>
  </bookViews>
  <sheets>
    <sheet name="Original" sheetId="3" r:id="rId1"/>
    <sheet name="Data_Table_One-Input" sheetId="1" r:id="rId2"/>
    <sheet name="Data_Table_Two-Input" sheetId="2" r:id="rId3"/>
  </sheets>
  <definedNames>
    <definedName name="base" localSheetId="2">'Data_Table_Two-Input'!$C$3</definedName>
    <definedName name="base" localSheetId="0">Original!$C$3</definedName>
    <definedName name="base">'Data_Table_One-Input'!$C$3</definedName>
    <definedName name="bonus" localSheetId="2">'Data_Table_Two-Input'!$C$4</definedName>
    <definedName name="bonus" localSheetId="0">Original!$C$4</definedName>
    <definedName name="bonus">'Data_Table_One-Input'!$C$4</definedName>
    <definedName name="bonuys" localSheetId="2">'Data_Table_Two-Input'!$C$4</definedName>
    <definedName name="bonuys" localSheetId="0">Original!$C$4</definedName>
    <definedName name="bonuys">'Data_Table_One-Input'!$C$4</definedName>
    <definedName name="raise" localSheetId="2">'Data_Table_Two-Input'!$C$5</definedName>
    <definedName name="raise" localSheetId="0">Original!$C$5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3" l="1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C14" i="2"/>
  <c r="E3" i="2" s="1"/>
  <c r="C14" i="1"/>
  <c r="K3" i="1" s="1"/>
  <c r="K3" i="3" l="1"/>
  <c r="E22" i="3"/>
</calcChain>
</file>

<file path=xl/sharedStrings.xml><?xml version="1.0" encoding="utf-8"?>
<sst xmlns="http://schemas.openxmlformats.org/spreadsheetml/2006/main" count="42" uniqueCount="15">
  <si>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</si>
  <si>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</si>
  <si>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</si>
  <si>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</si>
  <si>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</si>
  <si>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</si>
  <si>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</si>
  <si>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</si>
  <si>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</si>
  <si>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</si>
  <si>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</si>
  <si>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</si>
  <si>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</si>
  <si>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Bonus</t>
    <phoneticPr fontId="9" type="noConversion"/>
  </si>
  <si>
    <t>Annual Raise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</si>
</sst>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  <numFmt numFmtId="178" formatCode="0.0%"/>
    <numFmt numFmtId="180" formatCode="_ * #,##0_ ;_ * \-#,##0_ ;_ * &quot;-&quot;??_ ;_ @_ 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11"/>
      <color theme="0" tint="-0.14999847407452621"/>
      <name val="等线"/>
      <family val="2"/>
      <scheme val="minor"/>
    </font>
    <font>
      <sz val="11"/>
      <name val="等线"/>
      <family val="2"/>
      <scheme val="minor"/>
    </font>
    <font>
      <sz val="11"/>
      <color rgb="FF3F3F76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  <xf numFmtId="43" fontId="1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177" fontId="0" fillId="0" borderId="0" xfId="1" applyNumberFormat="1" applyFont="1" applyBorder="1"/>
    <xf numFmtId="177" fontId="0" fillId="0" borderId="1" xfId="1" applyNumberFormat="1" applyFont="1" applyBorder="1"/>
    <xf numFmtId="177" fontId="0" fillId="0" borderId="2" xfId="1" applyNumberFormat="1" applyFont="1" applyBorder="1"/>
    <xf numFmtId="177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77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77" fontId="5" fillId="0" borderId="4" xfId="0" applyNumberFormat="1" applyFont="1" applyBorder="1"/>
    <xf numFmtId="177" fontId="5" fillId="0" borderId="5" xfId="0" applyNumberFormat="1" applyFont="1" applyBorder="1"/>
    <xf numFmtId="177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78" fontId="2" fillId="0" borderId="7" xfId="0" applyNumberFormat="1" applyFont="1" applyBorder="1"/>
    <xf numFmtId="178" fontId="2" fillId="0" borderId="8" xfId="0" applyNumberFormat="1" applyFont="1" applyBorder="1"/>
    <xf numFmtId="178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77" fontId="2" fillId="0" borderId="15" xfId="1" applyNumberFormat="1" applyFont="1" applyBorder="1"/>
    <xf numFmtId="177" fontId="7" fillId="2" borderId="17" xfId="3" applyNumberFormat="1" applyBorder="1"/>
    <xf numFmtId="9" fontId="7" fillId="2" borderId="17" xfId="3" applyNumberFormat="1" applyBorder="1"/>
    <xf numFmtId="178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77" fontId="6" fillId="0" borderId="4" xfId="2" applyNumberFormat="1" applyFont="1" applyBorder="1"/>
    <xf numFmtId="177" fontId="6" fillId="0" borderId="5" xfId="2" applyNumberFormat="1" applyFont="1" applyBorder="1"/>
    <xf numFmtId="177" fontId="6" fillId="0" borderId="6" xfId="2" applyNumberFormat="1" applyFont="1" applyBorder="1"/>
    <xf numFmtId="9" fontId="0" fillId="0" borderId="5" xfId="0" applyNumberFormat="1" applyBorder="1"/>
    <xf numFmtId="9" fontId="0" fillId="0" borderId="6" xfId="0" applyNumberFormat="1" applyBorder="1"/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77" fontId="5" fillId="0" borderId="19" xfId="0" applyNumberFormat="1" applyFont="1" applyBorder="1"/>
    <xf numFmtId="180" fontId="0" fillId="0" borderId="0" xfId="4" applyNumberFormat="1" applyFont="1" applyBorder="1" applyAlignment="1"/>
    <xf numFmtId="180" fontId="0" fillId="0" borderId="1" xfId="4" applyNumberFormat="1" applyFont="1" applyBorder="1" applyAlignment="1"/>
    <xf numFmtId="180" fontId="0" fillId="0" borderId="2" xfId="4" applyNumberFormat="1" applyFont="1" applyBorder="1" applyAlignment="1"/>
    <xf numFmtId="180" fontId="0" fillId="0" borderId="3" xfId="4" applyNumberFormat="1" applyFont="1" applyBorder="1" applyAlignment="1"/>
  </cellXfs>
  <cellStyles count="5">
    <cellStyle name="百分比" xfId="2" builtinId="5"/>
    <cellStyle name="常规" xfId="0" builtinId="0"/>
    <cellStyle name="货币" xfId="1" builtinId="4"/>
    <cellStyle name="千位分隔" xfId="4" builtinId="3"/>
    <cellStyle name="输入" xfId="3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31"/>
  <sheetViews>
    <sheetView tabSelected="1" zoomScaleNormal="100" workbookViewId="0">
      <selection activeCell="N23" sqref="N23"/>
    </sheetView>
  </sheetViews>
  <sheetFormatPr defaultRowHeight="14.25" x14ac:dyDescent="0.2"/>
  <cols>
    <col min="2" max="2" width="11.5" customWidth="1"/>
    <col min="3" max="3" width="11.875" bestFit="1" customWidth="1"/>
    <col min="4" max="4" width="12.125" bestFit="1" customWidth="1"/>
    <col min="5" max="5" width="11" bestFit="1" customWidth="1"/>
    <col min="6" max="11" width="11" customWidth="1"/>
  </cols>
  <sheetData>
    <row r="1" spans="2:11" ht="15" thickBot="1" x14ac:dyDescent="0.25"/>
    <row r="2" spans="2:11" ht="15" thickBot="1" x14ac:dyDescent="0.2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25">
      <c r="B3" s="6" t="s">
        <v>0</v>
      </c>
      <c r="C3" s="25">
        <v>100000</v>
      </c>
      <c r="E3" s="11"/>
      <c r="F3" s="32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C14</f>
        <v>566749.36181874992</v>
      </c>
    </row>
    <row r="4" spans="2:11" x14ac:dyDescent="0.2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2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2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2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5" thickBot="1" x14ac:dyDescent="0.25">
      <c r="B14" s="10" t="s">
        <v>3</v>
      </c>
      <c r="C14" s="24">
        <f>SUM(C9:C13)</f>
        <v>566749.36181874992</v>
      </c>
    </row>
    <row r="21" spans="4:11" ht="15" thickBot="1" x14ac:dyDescent="0.25">
      <c r="F21" s="37" t="s">
        <v>13</v>
      </c>
      <c r="G21" s="37"/>
      <c r="H21" s="37"/>
      <c r="I21" s="37"/>
      <c r="J21" s="37"/>
      <c r="K21" s="37"/>
    </row>
    <row r="22" spans="4:11" ht="15" thickBot="1" x14ac:dyDescent="0.25">
      <c r="E22" s="39">
        <f>C14</f>
        <v>566749.36181874992</v>
      </c>
      <c r="F22" s="35">
        <v>0.05</v>
      </c>
      <c r="G22" s="35">
        <v>0.1</v>
      </c>
      <c r="H22" s="35">
        <v>0.15</v>
      </c>
      <c r="I22" s="35">
        <v>0.2</v>
      </c>
      <c r="J22" s="35">
        <v>0.25</v>
      </c>
      <c r="K22" s="36">
        <v>0.3</v>
      </c>
    </row>
    <row r="23" spans="4:11" x14ac:dyDescent="0.2">
      <c r="D23" s="38" t="s">
        <v>14</v>
      </c>
      <c r="E23" s="17">
        <v>0</v>
      </c>
      <c r="F23" s="40">
        <f t="dataTable" ref="F23:K31" dt2D="1" dtr="1" r1="C4" r2="C5" ca="1"/>
        <v>525000</v>
      </c>
      <c r="G23" s="40">
        <v>550000.00000000012</v>
      </c>
      <c r="H23" s="40">
        <v>574999.99999999988</v>
      </c>
      <c r="I23" s="40">
        <v>600000</v>
      </c>
      <c r="J23" s="40">
        <v>625000</v>
      </c>
      <c r="K23" s="41">
        <v>650000</v>
      </c>
    </row>
    <row r="24" spans="4:11" x14ac:dyDescent="0.2">
      <c r="D24" s="38"/>
      <c r="E24" s="17">
        <v>5.0000000000000001E-3</v>
      </c>
      <c r="F24" s="40">
        <v>530276.31569062488</v>
      </c>
      <c r="G24" s="40">
        <v>555527.56881874998</v>
      </c>
      <c r="H24" s="40">
        <v>580778.82194687473</v>
      </c>
      <c r="I24" s="40">
        <v>606030.07507499983</v>
      </c>
      <c r="J24" s="40">
        <v>631281.32820312493</v>
      </c>
      <c r="K24" s="41">
        <v>656532.58133124991</v>
      </c>
    </row>
    <row r="25" spans="4:11" x14ac:dyDescent="0.2">
      <c r="D25" s="38"/>
      <c r="E25" s="17">
        <v>0.01</v>
      </c>
      <c r="F25" s="40">
        <v>535605.52604999999</v>
      </c>
      <c r="G25" s="40">
        <v>561110.55110000004</v>
      </c>
      <c r="H25" s="40">
        <v>586615.57614999986</v>
      </c>
      <c r="I25" s="40">
        <v>612120.60120000003</v>
      </c>
      <c r="J25" s="40">
        <v>637625.62624999997</v>
      </c>
      <c r="K25" s="41">
        <v>663130.65130000003</v>
      </c>
    </row>
    <row r="26" spans="4:11" x14ac:dyDescent="0.2">
      <c r="D26" s="38"/>
      <c r="E26" s="17">
        <v>1.4999999999999999E-2</v>
      </c>
      <c r="F26" s="40">
        <v>540988.02719062497</v>
      </c>
      <c r="G26" s="40">
        <v>566749.36181874992</v>
      </c>
      <c r="H26" s="40">
        <v>592510.69644687476</v>
      </c>
      <c r="I26" s="40">
        <v>618272.03107499983</v>
      </c>
      <c r="J26" s="40">
        <v>644033.3657031249</v>
      </c>
      <c r="K26" s="41">
        <v>669794.70033124997</v>
      </c>
    </row>
    <row r="27" spans="4:11" x14ac:dyDescent="0.2">
      <c r="D27" s="38"/>
      <c r="E27" s="17">
        <v>0.02</v>
      </c>
      <c r="F27" s="40">
        <v>546424.21679999994</v>
      </c>
      <c r="G27" s="40">
        <v>572444.41760000004</v>
      </c>
      <c r="H27" s="40">
        <v>598464.61839999992</v>
      </c>
      <c r="I27" s="40">
        <v>624484.81919999991</v>
      </c>
      <c r="J27" s="40">
        <v>650505.02</v>
      </c>
      <c r="K27" s="41">
        <v>676525.22080000001</v>
      </c>
    </row>
    <row r="28" spans="4:11" x14ac:dyDescent="0.2">
      <c r="D28" s="38"/>
      <c r="E28" s="17">
        <v>2.5000000000000001E-2</v>
      </c>
      <c r="F28" s="40">
        <v>551914.494140625</v>
      </c>
      <c r="G28" s="40">
        <v>578196.13671875</v>
      </c>
      <c r="H28" s="40">
        <v>604477.77929687488</v>
      </c>
      <c r="I28" s="40">
        <v>630759.42187499988</v>
      </c>
      <c r="J28" s="40">
        <v>657041.064453125</v>
      </c>
      <c r="K28" s="41">
        <v>683322.70703125</v>
      </c>
    </row>
    <row r="29" spans="4:11" x14ac:dyDescent="0.2">
      <c r="D29" s="38"/>
      <c r="E29" s="17">
        <v>0.03</v>
      </c>
      <c r="F29" s="40">
        <v>557459.26005000004</v>
      </c>
      <c r="G29" s="40">
        <v>584004.93910000008</v>
      </c>
      <c r="H29" s="40">
        <v>610550.61814999988</v>
      </c>
      <c r="I29" s="40">
        <v>637096.29719999991</v>
      </c>
      <c r="J29" s="40">
        <v>663641.97625000007</v>
      </c>
      <c r="K29" s="41">
        <v>690187.65529999998</v>
      </c>
    </row>
    <row r="30" spans="4:11" x14ac:dyDescent="0.2">
      <c r="D30" s="38"/>
      <c r="E30" s="17">
        <v>3.5000000000000003E-2</v>
      </c>
      <c r="F30" s="40">
        <v>563058.91694062494</v>
      </c>
      <c r="G30" s="40">
        <v>589871.24631874997</v>
      </c>
      <c r="H30" s="40">
        <v>616683.57569687488</v>
      </c>
      <c r="I30" s="40">
        <v>643495.9050749999</v>
      </c>
      <c r="J30" s="40">
        <v>670308.23445312493</v>
      </c>
      <c r="K30" s="41">
        <v>697120.56383124995</v>
      </c>
    </row>
    <row r="31" spans="4:11" ht="15" thickBot="1" x14ac:dyDescent="0.25">
      <c r="D31" s="38"/>
      <c r="E31" s="18">
        <v>0.04</v>
      </c>
      <c r="F31" s="42">
        <v>568713.86880000005</v>
      </c>
      <c r="G31" s="42">
        <v>595795.48160000006</v>
      </c>
      <c r="H31" s="42">
        <v>622877.09440000006</v>
      </c>
      <c r="I31" s="42">
        <v>649958.70720000006</v>
      </c>
      <c r="J31" s="42">
        <v>677040.32000000007</v>
      </c>
      <c r="K31" s="43">
        <v>704121.93280000007</v>
      </c>
    </row>
  </sheetData>
  <mergeCells count="4">
    <mergeCell ref="B2:C2"/>
    <mergeCell ref="B7:C7"/>
    <mergeCell ref="F21:K21"/>
    <mergeCell ref="D23:D31"/>
  </mergeCells>
  <phoneticPr fontId="9" type="noConversion"/>
  <conditionalFormatting sqref="F4:J12">
    <cfRule type="colorScale" priority="2">
      <colorScale>
        <cfvo type="min"/>
        <cfvo type="max"/>
        <color rgb="FFFCFCFF"/>
        <color theme="4" tint="0.59999389629810485"/>
      </colorScale>
    </cfRule>
  </conditionalFormatting>
  <conditionalFormatting sqref="F23:J31">
    <cfRule type="colorScale" priority="1">
      <colorScale>
        <cfvo type="min"/>
        <cfvo type="max"/>
        <color rgb="FFFCFCFF"/>
        <color theme="9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E2" sqref="E2:K2"/>
    </sheetView>
  </sheetViews>
  <sheetFormatPr defaultRowHeight="14.25" x14ac:dyDescent="0.2"/>
  <cols>
    <col min="2" max="2" width="11.5" customWidth="1"/>
    <col min="3" max="3" width="11.875" bestFit="1" customWidth="1"/>
    <col min="5" max="5" width="11" bestFit="1" customWidth="1"/>
    <col min="6" max="11" width="11" customWidth="1"/>
  </cols>
  <sheetData>
    <row r="1" spans="2:11" ht="15" thickBot="1" x14ac:dyDescent="0.25"/>
    <row r="2" spans="2:11" ht="15" thickBot="1" x14ac:dyDescent="0.2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2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2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2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2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5" thickBot="1" x14ac:dyDescent="0.2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25" x14ac:dyDescent="0.2"/>
  <cols>
    <col min="2" max="2" width="11.5" customWidth="1"/>
    <col min="3" max="3" width="11.875" bestFit="1" customWidth="1"/>
    <col min="5" max="5" width="11" bestFit="1" customWidth="1"/>
    <col min="6" max="11" width="11" customWidth="1"/>
  </cols>
  <sheetData>
    <row r="1" spans="2:11" ht="15" thickBot="1" x14ac:dyDescent="0.25"/>
    <row r="2" spans="2:11" ht="15" thickBot="1" x14ac:dyDescent="0.2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2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2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2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2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">
      <c r="B13" s="9">
        <v>4</v>
      </c>
      <c r="C13" s="7">
        <f>(base*(1+raise)^B13)*(1+bonus)</f>
        <v>116749.99056874996</v>
      </c>
    </row>
    <row r="14" spans="2:11" ht="15" thickBot="1" x14ac:dyDescent="0.2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phoneticPr fontId="9" type="noConversion"/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12</vt:i4>
      </vt:variant>
    </vt:vector>
  </HeadingPairs>
  <TitlesOfParts>
    <vt:vector size="15" baseType="lpstr">
      <vt:lpstr>Original</vt:lpstr>
      <vt:lpstr>Data_Table_One-Input</vt:lpstr>
      <vt:lpstr>Data_Table_Two-Input</vt:lpstr>
      <vt:lpstr>'Data_Table_Two-Input'!base</vt:lpstr>
      <vt:lpstr>Original!base</vt:lpstr>
      <vt:lpstr>base</vt:lpstr>
      <vt:lpstr>'Data_Table_Two-Input'!bonus</vt:lpstr>
      <vt:lpstr>Original!bonus</vt:lpstr>
      <vt:lpstr>bonus</vt:lpstr>
      <vt:lpstr>'Data_Table_Two-Input'!bonuys</vt:lpstr>
      <vt:lpstr>Original!bonuys</vt:lpstr>
      <vt:lpstr>bonuys</vt:lpstr>
      <vt:lpstr>'Data_Table_Two-Input'!raise</vt:lpstr>
      <vt:lpstr>Original!raise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迅 堵</cp:lastModifiedBy>
  <dcterms:created xsi:type="dcterms:W3CDTF">2024-08-08T18:34:47Z</dcterms:created>
  <dcterms:modified xsi:type="dcterms:W3CDTF">2025-11-03T15:41:32Z</dcterms:modified>
</cp:coreProperties>
</file>